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HUST\20251-Thelastdance\Graduation\Documents\"/>
    </mc:Choice>
  </mc:AlternateContent>
  <xr:revisionPtr revIDLastSave="0" documentId="13_ncr:1_{FE824FEF-3952-4D19-BD37-B0629B07F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 sánh các loại p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D5" i="1" s="1"/>
  <c r="E5" i="1" s="1"/>
  <c r="O15" i="1"/>
  <c r="L14" i="1"/>
  <c r="I14" i="1"/>
  <c r="I18" i="1" s="1"/>
  <c r="B13" i="1"/>
  <c r="E6" i="1"/>
  <c r="D3" i="1" l="1"/>
  <c r="E3" i="1" s="1"/>
  <c r="D4" i="1"/>
  <c r="E4" i="1" s="1"/>
  <c r="L16" i="1"/>
  <c r="L17" i="1" s="1"/>
  <c r="E7" i="1"/>
  <c r="F7" i="1" s="1"/>
  <c r="O17" i="1" l="1"/>
  <c r="B15" i="1"/>
  <c r="B17" i="1" s="1"/>
  <c r="B18" i="1" s="1"/>
</calcChain>
</file>

<file path=xl/sharedStrings.xml><?xml version="1.0" encoding="utf-8"?>
<sst xmlns="http://schemas.openxmlformats.org/spreadsheetml/2006/main" count="72" uniqueCount="56">
  <si>
    <t>Thông số</t>
  </si>
  <si>
    <t>Giá trị</t>
  </si>
  <si>
    <t>Khối</t>
  </si>
  <si>
    <t>Điện áp (V)</t>
  </si>
  <si>
    <t>Thời gian hoạt động (giờ / chu kỳ)</t>
  </si>
  <si>
    <t>Năng lượng (Wh)</t>
  </si>
  <si>
    <t>ESP32</t>
  </si>
  <si>
    <t>SD card + BME</t>
  </si>
  <si>
    <t>PMS + SDS</t>
  </si>
  <si>
    <t>Khác (nếu có)</t>
  </si>
  <si>
    <t>TỔNG NĂNG LƯỢNG / CHU KỲ</t>
  </si>
  <si>
    <t>Dòng (mA)</t>
  </si>
  <si>
    <t>Năng lượng (mWh)</t>
  </si>
  <si>
    <t>Công thức</t>
  </si>
  <si>
    <t>Thời gian chạy (giờ)</t>
  </si>
  <si>
    <t>Dung lượng pin danh định (Wh)</t>
  </si>
  <si>
    <t>Tỷ lệ dung lượng sử dụng (vd: 0.8)</t>
  </si>
  <si>
    <t>Năng lượng pin khả dụng (Wh)</t>
  </si>
  <si>
    <t>Dung lượng pin danh định (mWh)</t>
  </si>
  <si>
    <t>Thời gian 1 chu kỳ (giờ)</t>
  </si>
  <si>
    <t>Thời gian chạy (ngày)</t>
  </si>
  <si>
    <t>Ghi chú</t>
  </si>
  <si>
    <t>Điện áp sạc vào (V)</t>
  </si>
  <si>
    <t>Dòng sạc tối đa (A)</t>
  </si>
  <si>
    <t>Công suất nguồn sạc (W)</t>
  </si>
  <si>
    <t>Hiệu suất buck (%)</t>
  </si>
  <si>
    <t>Hiệu suất mạch sạc pin (%)</t>
  </si>
  <si>
    <t>Công suất khả dụng sau chuyển đổi (W)</t>
  </si>
  <si>
    <t>Công suất trung bình tải (W)</t>
  </si>
  <si>
    <t>Thời gian 1 chu kỳ (h)</t>
  </si>
  <si>
    <t>Công suất hệ thống và tổn hao</t>
  </si>
  <si>
    <t>Công suất còn lại để sạc pin (W)</t>
  </si>
  <si>
    <t>Dòng sạc pin tương đương (A)</t>
  </si>
  <si>
    <t>Điện áp pin trung bình (V)</t>
  </si>
  <si>
    <t>SOC ban đầu</t>
  </si>
  <si>
    <t>SOC mục tiêu</t>
  </si>
  <si>
    <t>Năng lượng cần sạc (Wh)</t>
  </si>
  <si>
    <t>Thời gian sạc (giờ)</t>
  </si>
  <si>
    <t>Chu kì khi chạy nguồn bằng pin</t>
  </si>
  <si>
    <t>Kịch bản</t>
  </si>
  <si>
    <t>Thông tin nguồn</t>
  </si>
  <si>
    <t>Hoạt động bình thường, liên tục</t>
  </si>
  <si>
    <t>Chu kỳ (thời gian hoạt động / giờ)</t>
  </si>
  <si>
    <t>CHU KÌ</t>
  </si>
  <si>
    <t>Thời gian sạc đầy</t>
  </si>
  <si>
    <t>Thời gian hoạt động (phút)</t>
  </si>
  <si>
    <t>Mode Tổng năng lượng dùng/giờ</t>
  </si>
  <si>
    <t>Pin chưa đầy, trời sáng</t>
  </si>
  <si>
    <t>Pin đầy, trời sáng</t>
  </si>
  <si>
    <t>Pin tốt, trời tối</t>
  </si>
  <si>
    <t>Pin kém, trời tối</t>
  </si>
  <si>
    <t>Mode 2</t>
  </si>
  <si>
    <t>Mode 1</t>
  </si>
  <si>
    <t>Mode 3</t>
  </si>
  <si>
    <t>Pin(%)</t>
  </si>
  <si>
    <t>Nguồn hỏng, dùng pin làm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</si>
</sst>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vertical="center" wrapText="1"/>
    </xf>
    <xf numFmtId="2" fontId="0" fillId="0" borderId="0" xfId="0" applyNumberFormat="1" applyBorder="1" applyAlignment="1">
      <alignment vertical="center"/>
    </xf>
    <xf numFmtId="2" fontId="0" fillId="0" borderId="0" xfId="0" applyNumberFormat="1" applyBorder="1" applyAlignment="1">
      <alignment vertical="center" wrapText="1"/>
    </xf>
    <xf numFmtId="2" fontId="1" fillId="0" borderId="0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0" fillId="0" borderId="3" xfId="0" applyNumberFormat="1" applyBorder="1" applyAlignment="1">
      <alignment vertical="center" wrapText="1"/>
    </xf>
    <xf numFmtId="2" fontId="0" fillId="0" borderId="4" xfId="0" applyNumberFormat="1" applyBorder="1" applyAlignment="1">
      <alignment vertical="center" wrapText="1"/>
    </xf>
    <xf numFmtId="2" fontId="1" fillId="0" borderId="5" xfId="0" applyNumberFormat="1" applyFont="1" applyBorder="1" applyAlignment="1">
      <alignment vertical="center" wrapText="1"/>
    </xf>
    <xf numFmtId="2" fontId="2" fillId="0" borderId="6" xfId="0" applyNumberFormat="1" applyFont="1" applyBorder="1" applyAlignment="1">
      <alignment vertical="center" wrapText="1"/>
    </xf>
    <xf numFmtId="2" fontId="0" fillId="0" borderId="7" xfId="0" applyNumberFormat="1" applyBorder="1" applyAlignment="1">
      <alignment horizontal="center" vertical="center"/>
    </xf>
    <xf numFmtId="2" fontId="1" fillId="0" borderId="0" xfId="0" applyNumberFormat="1" applyFont="1" applyBorder="1" applyAlignment="1">
      <alignment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vertical="center" wrapText="1"/>
    </xf>
    <xf numFmtId="2" fontId="2" fillId="0" borderId="4" xfId="0" applyNumberFormat="1" applyFont="1" applyBorder="1" applyAlignment="1">
      <alignment vertical="center" wrapText="1"/>
    </xf>
    <xf numFmtId="2" fontId="0" fillId="0" borderId="5" xfId="0" applyNumberFormat="1" applyBorder="1" applyAlignment="1">
      <alignment vertical="center" wrapText="1"/>
    </xf>
    <xf numFmtId="2" fontId="0" fillId="0" borderId="6" xfId="0" applyNumberFormat="1" applyBorder="1" applyAlignment="1">
      <alignment vertical="center" wrapText="1"/>
    </xf>
    <xf numFmtId="2" fontId="2" fillId="0" borderId="0" xfId="0" applyNumberFormat="1" applyFont="1" applyBorder="1" applyAlignment="1">
      <alignment vertical="center" wrapText="1"/>
    </xf>
    <xf numFmtId="2" fontId="0" fillId="0" borderId="3" xfId="0" applyNumberFormat="1" applyBorder="1" applyAlignment="1">
      <alignment vertical="center"/>
    </xf>
    <xf numFmtId="2" fontId="0" fillId="0" borderId="4" xfId="0" applyNumberFormat="1" applyBorder="1" applyAlignment="1">
      <alignment vertical="center"/>
    </xf>
    <xf numFmtId="2" fontId="0" fillId="0" borderId="5" xfId="0" applyNumberFormat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0" fillId="0" borderId="6" xfId="0" applyNumberFormat="1" applyBorder="1" applyAlignment="1">
      <alignment vertical="center"/>
    </xf>
    <xf numFmtId="2" fontId="1" fillId="0" borderId="10" xfId="0" applyNumberFormat="1" applyFont="1" applyBorder="1" applyAlignment="1">
      <alignment horizontal="center" vertical="center" wrapText="1"/>
    </xf>
    <xf numFmtId="2" fontId="0" fillId="0" borderId="7" xfId="0" applyNumberFormat="1" applyBorder="1" applyAlignment="1">
      <alignment vertical="center" wrapText="1"/>
    </xf>
    <xf numFmtId="2" fontId="1" fillId="0" borderId="11" xfId="0" applyNumberFormat="1" applyFont="1" applyBorder="1" applyAlignment="1">
      <alignment horizontal="center" vertical="center" wrapText="1"/>
    </xf>
    <xf numFmtId="2" fontId="0" fillId="0" borderId="12" xfId="0" applyNumberFormat="1" applyBorder="1" applyAlignment="1">
      <alignment vertical="center"/>
    </xf>
    <xf numFmtId="2" fontId="0" fillId="0" borderId="13" xfId="0" applyNumberFormat="1" applyBorder="1" applyAlignment="1">
      <alignment vertical="center"/>
    </xf>
    <xf numFmtId="2" fontId="0" fillId="0" borderId="3" xfId="0" applyNumberFormat="1" applyFont="1" applyBorder="1" applyAlignment="1">
      <alignment vertical="center" wrapText="1"/>
    </xf>
    <xf numFmtId="2" fontId="1" fillId="0" borderId="7" xfId="0" applyNumberFormat="1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zoomScaleNormal="100" workbookViewId="0">
      <selection activeCell="D12" sqref="D12"/>
    </sheetView>
  </sheetViews>
  <sheetFormatPr defaultRowHeight="14.4"/>
  <cols>
    <col min="1" max="1" width="27.6640625" style="9" customWidth="1"/>
    <col min="2" max="3" width="11.5546875" style="9" bestFit="1" customWidth="1"/>
    <col min="4" max="4" width="12.5546875" style="9" customWidth="1"/>
    <col min="5" max="6" width="12.77734375" style="9" customWidth="1"/>
    <col min="7" max="7" width="11.44140625" style="9" customWidth="1"/>
    <col min="8" max="8" width="27.77734375" style="9" bestFit="1" customWidth="1"/>
    <col min="9" max="10" width="8.88671875" style="9"/>
    <col min="11" max="11" width="27.6640625" style="9" bestFit="1" customWidth="1"/>
    <col min="12" max="12" width="11.88671875" style="9" customWidth="1"/>
    <col min="13" max="13" width="8.88671875" style="9"/>
    <col min="14" max="14" width="22" style="9" customWidth="1"/>
    <col min="15" max="15" width="11.5546875" style="9" bestFit="1" customWidth="1"/>
    <col min="16" max="16384" width="8.88671875" style="9"/>
  </cols>
  <sheetData>
    <row r="1" spans="1:16" ht="15" thickBot="1"/>
    <row r="2" spans="1:16" ht="43.2">
      <c r="A2" s="12" t="s">
        <v>2</v>
      </c>
      <c r="B2" s="36" t="s">
        <v>3</v>
      </c>
      <c r="C2" s="36" t="s">
        <v>11</v>
      </c>
      <c r="D2" s="36" t="s">
        <v>4</v>
      </c>
      <c r="E2" s="13" t="s">
        <v>12</v>
      </c>
      <c r="F2" s="38" t="s">
        <v>5</v>
      </c>
      <c r="H2" s="43" t="s">
        <v>39</v>
      </c>
      <c r="I2" s="44" t="s">
        <v>54</v>
      </c>
      <c r="J2" s="45" t="s">
        <v>40</v>
      </c>
      <c r="K2" s="45" t="s">
        <v>46</v>
      </c>
      <c r="L2" s="45" t="s">
        <v>42</v>
      </c>
      <c r="M2" s="46" t="s">
        <v>21</v>
      </c>
      <c r="N2" s="47"/>
    </row>
    <row r="3" spans="1:16">
      <c r="A3" s="14" t="s">
        <v>6</v>
      </c>
      <c r="B3" s="10">
        <v>3.3</v>
      </c>
      <c r="C3" s="10">
        <v>300</v>
      </c>
      <c r="D3" s="10">
        <f>F13</f>
        <v>0.16666666666666666</v>
      </c>
      <c r="E3" s="27">
        <f>B3*C3*D3</f>
        <v>165</v>
      </c>
      <c r="F3" s="39"/>
      <c r="H3" s="31" t="s">
        <v>41</v>
      </c>
      <c r="K3" s="9" t="s">
        <v>52</v>
      </c>
      <c r="N3" s="32"/>
    </row>
    <row r="4" spans="1:16">
      <c r="A4" s="14" t="s">
        <v>7</v>
      </c>
      <c r="B4" s="10">
        <v>3.3</v>
      </c>
      <c r="C4" s="10">
        <v>40</v>
      </c>
      <c r="D4" s="10">
        <f>F13</f>
        <v>0.16666666666666666</v>
      </c>
      <c r="E4" s="27">
        <f>B4*C4*D4</f>
        <v>22</v>
      </c>
      <c r="F4" s="39"/>
      <c r="H4" s="31" t="s">
        <v>47</v>
      </c>
      <c r="K4" s="19" t="s">
        <v>51</v>
      </c>
      <c r="N4" s="32"/>
    </row>
    <row r="5" spans="1:16">
      <c r="A5" s="14" t="s">
        <v>8</v>
      </c>
      <c r="B5" s="10">
        <v>5</v>
      </c>
      <c r="C5" s="10">
        <v>400</v>
      </c>
      <c r="D5" s="10">
        <f>F13</f>
        <v>0.16666666666666666</v>
      </c>
      <c r="E5" s="27">
        <f>B5*C5*D5</f>
        <v>333.33333333333331</v>
      </c>
      <c r="F5" s="39"/>
      <c r="H5" s="31" t="s">
        <v>48</v>
      </c>
      <c r="K5" s="9" t="s">
        <v>52</v>
      </c>
      <c r="N5" s="32"/>
    </row>
    <row r="6" spans="1:16">
      <c r="A6" s="14" t="s">
        <v>9</v>
      </c>
      <c r="B6" s="10">
        <v>0</v>
      </c>
      <c r="C6" s="10">
        <v>0</v>
      </c>
      <c r="D6" s="10">
        <v>0</v>
      </c>
      <c r="E6" s="27">
        <f>B6*C6*D6</f>
        <v>0</v>
      </c>
      <c r="F6" s="39"/>
      <c r="H6" s="31" t="s">
        <v>49</v>
      </c>
      <c r="K6" s="9" t="s">
        <v>51</v>
      </c>
      <c r="N6" s="32"/>
    </row>
    <row r="7" spans="1:16" ht="15" thickBot="1">
      <c r="A7" s="16" t="s">
        <v>10</v>
      </c>
      <c r="B7" s="37"/>
      <c r="C7" s="37"/>
      <c r="D7" s="37"/>
      <c r="E7" s="17">
        <f>SUM(E3:E6)</f>
        <v>520.33333333333326</v>
      </c>
      <c r="F7" s="40">
        <f>(E7/1000)</f>
        <v>0.5203333333333332</v>
      </c>
      <c r="H7" s="31" t="s">
        <v>50</v>
      </c>
      <c r="K7" s="9" t="s">
        <v>53</v>
      </c>
      <c r="N7" s="32"/>
    </row>
    <row r="8" spans="1:16" ht="15" thickBot="1">
      <c r="A8" s="11"/>
      <c r="B8" s="10"/>
      <c r="C8" s="10"/>
      <c r="D8" s="10"/>
      <c r="E8" s="30"/>
      <c r="H8" s="33" t="s">
        <v>55</v>
      </c>
      <c r="I8" s="34"/>
      <c r="J8" s="34"/>
      <c r="K8" s="34"/>
      <c r="L8" s="34"/>
      <c r="M8" s="34"/>
      <c r="N8" s="35"/>
    </row>
    <row r="9" spans="1:16" ht="15" thickBot="1">
      <c r="A9" s="8"/>
      <c r="B9" s="5"/>
      <c r="C9" s="5"/>
      <c r="D9" s="5"/>
      <c r="E9" s="6"/>
    </row>
    <row r="10" spans="1:16" ht="15" thickBot="1">
      <c r="A10" s="12" t="s">
        <v>0</v>
      </c>
      <c r="B10" s="13" t="s">
        <v>1</v>
      </c>
      <c r="C10" s="7"/>
      <c r="H10" s="42" t="s">
        <v>30</v>
      </c>
      <c r="I10" s="42"/>
      <c r="K10" s="18"/>
      <c r="L10" s="18"/>
      <c r="N10" s="42" t="s">
        <v>44</v>
      </c>
      <c r="O10" s="42"/>
    </row>
    <row r="11" spans="1:16" ht="28.8">
      <c r="A11" s="14" t="s">
        <v>18</v>
      </c>
      <c r="B11" s="15">
        <v>21600</v>
      </c>
      <c r="C11" s="5"/>
      <c r="E11" s="22" t="s">
        <v>45</v>
      </c>
      <c r="F11" s="23">
        <v>10</v>
      </c>
      <c r="H11" s="12" t="s">
        <v>0</v>
      </c>
      <c r="I11" s="13" t="s">
        <v>1</v>
      </c>
      <c r="J11" s="1"/>
      <c r="K11" s="12" t="s">
        <v>0</v>
      </c>
      <c r="L11" s="13" t="s">
        <v>1</v>
      </c>
      <c r="N11" s="12" t="s">
        <v>0</v>
      </c>
      <c r="O11" s="13" t="s">
        <v>1</v>
      </c>
      <c r="P11" s="7"/>
    </row>
    <row r="12" spans="1:16" ht="29.4" thickBot="1">
      <c r="A12" s="14" t="s">
        <v>16</v>
      </c>
      <c r="B12" s="15">
        <v>1</v>
      </c>
      <c r="C12" s="5"/>
      <c r="E12" s="24"/>
      <c r="F12" s="25"/>
      <c r="H12" s="14" t="s">
        <v>22</v>
      </c>
      <c r="I12" s="15">
        <v>9</v>
      </c>
      <c r="J12" s="2"/>
      <c r="K12" s="26" t="s">
        <v>28</v>
      </c>
      <c r="L12" s="15">
        <v>1</v>
      </c>
      <c r="N12" s="14" t="s">
        <v>15</v>
      </c>
      <c r="O12" s="15">
        <v>24.6</v>
      </c>
      <c r="P12" s="5"/>
    </row>
    <row r="13" spans="1:16" ht="15" thickBot="1">
      <c r="A13" s="16" t="s">
        <v>17</v>
      </c>
      <c r="B13" s="17">
        <f>B11*B12</f>
        <v>21600</v>
      </c>
      <c r="C13" s="6"/>
      <c r="E13" s="21" t="s">
        <v>43</v>
      </c>
      <c r="F13" s="20">
        <f>(F11/60)</f>
        <v>0.16666666666666666</v>
      </c>
      <c r="H13" s="14" t="s">
        <v>23</v>
      </c>
      <c r="I13" s="15">
        <v>0.5</v>
      </c>
      <c r="J13" s="2"/>
      <c r="K13" s="14" t="s">
        <v>29</v>
      </c>
      <c r="L13" s="15">
        <v>1</v>
      </c>
      <c r="N13" s="14" t="s">
        <v>34</v>
      </c>
      <c r="O13" s="15">
        <v>0.3</v>
      </c>
      <c r="P13" s="5"/>
    </row>
    <row r="14" spans="1:16" ht="15" thickBot="1">
      <c r="A14" s="12" t="s">
        <v>0</v>
      </c>
      <c r="B14" s="13" t="s">
        <v>13</v>
      </c>
      <c r="C14" s="6"/>
      <c r="H14" s="16" t="s">
        <v>24</v>
      </c>
      <c r="I14" s="17">
        <f>(I12*I13)</f>
        <v>4.5</v>
      </c>
      <c r="J14" s="2"/>
      <c r="K14" s="16" t="s">
        <v>28</v>
      </c>
      <c r="L14" s="17">
        <f>(L12/L13)</f>
        <v>1</v>
      </c>
      <c r="N14" s="14" t="s">
        <v>35</v>
      </c>
      <c r="O14" s="15">
        <v>0.9</v>
      </c>
      <c r="P14" s="5"/>
    </row>
    <row r="15" spans="1:16" ht="29.4" thickBot="1">
      <c r="A15" s="41" t="s">
        <v>38</v>
      </c>
      <c r="B15" s="27">
        <f>B13/E7</f>
        <v>41.511851377322238</v>
      </c>
      <c r="C15" s="6"/>
      <c r="H15" s="12" t="s">
        <v>0</v>
      </c>
      <c r="I15" s="13" t="s">
        <v>1</v>
      </c>
      <c r="J15" s="1"/>
      <c r="K15" s="12" t="s">
        <v>0</v>
      </c>
      <c r="L15" s="13" t="s">
        <v>1</v>
      </c>
      <c r="M15" s="1"/>
      <c r="N15" s="16" t="s">
        <v>36</v>
      </c>
      <c r="O15" s="17">
        <f>(O12*(O14-O13))</f>
        <v>14.760000000000003</v>
      </c>
    </row>
    <row r="16" spans="1:16" ht="28.8">
      <c r="A16" s="14" t="s">
        <v>19</v>
      </c>
      <c r="B16" s="15">
        <v>0.1</v>
      </c>
      <c r="C16" s="6"/>
      <c r="H16" s="14" t="s">
        <v>25</v>
      </c>
      <c r="I16" s="15">
        <v>0.9</v>
      </c>
      <c r="J16" s="2"/>
      <c r="K16" s="26" t="s">
        <v>31</v>
      </c>
      <c r="L16" s="27">
        <f>(I18-L14)</f>
        <v>2.4424999999999999</v>
      </c>
      <c r="M16" s="2"/>
      <c r="N16" s="12" t="s">
        <v>0</v>
      </c>
      <c r="O16" s="13" t="s">
        <v>1</v>
      </c>
    </row>
    <row r="17" spans="1:15" ht="15" thickBot="1">
      <c r="A17" s="26" t="s">
        <v>14</v>
      </c>
      <c r="B17" s="27">
        <f>(B15*B16)</f>
        <v>4.1511851377322238</v>
      </c>
      <c r="H17" s="14" t="s">
        <v>26</v>
      </c>
      <c r="I17" s="15">
        <v>0.85</v>
      </c>
      <c r="J17" s="2"/>
      <c r="K17" s="14" t="s">
        <v>32</v>
      </c>
      <c r="L17" s="27">
        <f>(L16/L18)</f>
        <v>0.32566666666666666</v>
      </c>
      <c r="M17" s="2"/>
      <c r="N17" s="16" t="s">
        <v>37</v>
      </c>
      <c r="O17" s="17">
        <f>(O15/L16)</f>
        <v>6.042988741044014</v>
      </c>
    </row>
    <row r="18" spans="1:15" ht="29.4" thickBot="1">
      <c r="A18" s="16" t="s">
        <v>20</v>
      </c>
      <c r="B18" s="17">
        <f>(B17/24)</f>
        <v>0.17296604740550933</v>
      </c>
      <c r="H18" s="16" t="s">
        <v>27</v>
      </c>
      <c r="I18" s="17">
        <f>(I14*I16*I17)</f>
        <v>3.4424999999999999</v>
      </c>
      <c r="J18" s="2"/>
      <c r="K18" s="28" t="s">
        <v>33</v>
      </c>
      <c r="L18" s="29">
        <v>7.5</v>
      </c>
      <c r="M18" s="2"/>
      <c r="N18" s="3"/>
      <c r="O18" s="4"/>
    </row>
    <row r="19" spans="1:15">
      <c r="A19" s="10"/>
      <c r="B19" s="11"/>
    </row>
    <row r="20" spans="1:15">
      <c r="A20" s="10"/>
      <c r="B20" s="11"/>
    </row>
    <row r="21" spans="1:15">
      <c r="A21" s="10"/>
      <c r="B21" s="11"/>
    </row>
    <row r="22" spans="1:15">
      <c r="A22" s="10"/>
      <c r="B22" s="11"/>
    </row>
    <row r="23" spans="1:15">
      <c r="A23" s="10"/>
      <c r="B23" s="11"/>
    </row>
  </sheetData>
  <mergeCells count="6">
    <mergeCell ref="M2:N2"/>
    <mergeCell ref="H10:I10"/>
    <mergeCell ref="E11:E12"/>
    <mergeCell ref="F11:F12"/>
    <mergeCell ref="K10:L10"/>
    <mergeCell ref="N10:O10"/>
  </mergeCells>
  <pageMargins left="0.75" right="0.75" top="1" bottom="1" header="0.5" footer="0.5"/>
  <pageSetup paperSiz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 sánh các loại pin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Dinh Hieu 20213755</cp:lastModifiedBy>
  <cp:lastPrinted>2026-01-30T12:46:40Z</cp:lastPrinted>
  <dcterms:created xsi:type="dcterms:W3CDTF">2026-01-30T10:22:34Z</dcterms:created>
  <dcterms:modified xsi:type="dcterms:W3CDTF">2026-01-30T12:48:29Z</dcterms:modified>
</cp:coreProperties>
</file>